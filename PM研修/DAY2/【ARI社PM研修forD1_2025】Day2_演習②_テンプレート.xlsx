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arigp-my.sharepoint.com/personal/rumiko_kakehi_ari-jp_com/Documents/Work/研修/2025PM研修/20260126/"/>
    </mc:Choice>
  </mc:AlternateContent>
  <xr:revisionPtr revIDLastSave="153" documentId="11_1B96C4C15AEDFD521ACBF83009322E79F7B7DF0A" xr6:coauthVersionLast="47" xr6:coauthVersionMax="47" xr10:uidLastSave="{F945867F-304C-4722-93BD-5C3ED7C7C005}"/>
  <bookViews>
    <workbookView xWindow="564" yWindow="540" windowWidth="22248" windowHeight="13212" xr2:uid="{00000000-000D-0000-FFFF-FFFF00000000}"/>
  </bookViews>
  <sheets>
    <sheet name="回答シート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15" i="3" l="1"/>
  <c r="H15" i="3"/>
  <c r="I15" i="3"/>
  <c r="J15" i="3"/>
  <c r="K15" i="3"/>
  <c r="L15" i="3"/>
  <c r="M15" i="3"/>
  <c r="N15" i="3"/>
  <c r="O15" i="3"/>
  <c r="P15" i="3"/>
  <c r="Q15" i="3"/>
  <c r="R15" i="3"/>
  <c r="S15" i="3"/>
  <c r="T15" i="3"/>
  <c r="U15" i="3"/>
  <c r="V15" i="3"/>
  <c r="F15" i="3"/>
  <c r="E13" i="3"/>
  <c r="D10" i="3"/>
  <c r="D9" i="3"/>
  <c r="D8" i="3"/>
  <c r="E7" i="3"/>
  <c r="D7" i="3"/>
  <c r="E6" i="3"/>
</calcChain>
</file>

<file path=xl/sharedStrings.xml><?xml version="1.0" encoding="utf-8"?>
<sst xmlns="http://schemas.openxmlformats.org/spreadsheetml/2006/main" count="48" uniqueCount="42">
  <si>
    <t>設計書作成</t>
  </si>
  <si>
    <t>設計書確認</t>
  </si>
  <si>
    <t>単体テスト準備</t>
  </si>
  <si>
    <t>プログラミング</t>
  </si>
  <si>
    <t>単体テスト実施・確認</t>
  </si>
  <si>
    <t>I/Fテスト環境調整・作業依頼</t>
  </si>
  <si>
    <t>I/Fテスト環境構築</t>
  </si>
  <si>
    <t>テストシナリオ・データ作成</t>
  </si>
  <si>
    <t>I/Fテスト実施・確認</t>
  </si>
  <si>
    <t>作業</t>
    <rPh sb="0" eb="2">
      <t>サギョウ</t>
    </rPh>
    <phoneticPr fontId="1"/>
  </si>
  <si>
    <t>担当者</t>
    <rPh sb="0" eb="3">
      <t>タントウシャ</t>
    </rPh>
    <phoneticPr fontId="1"/>
  </si>
  <si>
    <t>1日</t>
    <rPh sb="1" eb="2">
      <t>ニチ</t>
    </rPh>
    <phoneticPr fontId="1"/>
  </si>
  <si>
    <t>2日</t>
    <rPh sb="1" eb="2">
      <t>ニチ</t>
    </rPh>
    <phoneticPr fontId="1"/>
  </si>
  <si>
    <t>3日</t>
    <rPh sb="1" eb="2">
      <t>ニチ</t>
    </rPh>
    <phoneticPr fontId="1"/>
  </si>
  <si>
    <t>4日</t>
    <rPh sb="1" eb="2">
      <t>ニチ</t>
    </rPh>
    <phoneticPr fontId="1"/>
  </si>
  <si>
    <t>5日</t>
    <rPh sb="1" eb="2">
      <t>ニチ</t>
    </rPh>
    <phoneticPr fontId="1"/>
  </si>
  <si>
    <t>6日</t>
    <rPh sb="1" eb="2">
      <t>ニチ</t>
    </rPh>
    <phoneticPr fontId="1"/>
  </si>
  <si>
    <t>7日</t>
    <rPh sb="1" eb="2">
      <t>ニチ</t>
    </rPh>
    <phoneticPr fontId="1"/>
  </si>
  <si>
    <t>8日</t>
    <rPh sb="1" eb="2">
      <t>ニチ</t>
    </rPh>
    <phoneticPr fontId="1"/>
  </si>
  <si>
    <t>9日</t>
    <rPh sb="1" eb="2">
      <t>ニチ</t>
    </rPh>
    <phoneticPr fontId="1"/>
  </si>
  <si>
    <t>10日</t>
    <rPh sb="2" eb="3">
      <t>ニチ</t>
    </rPh>
    <phoneticPr fontId="1"/>
  </si>
  <si>
    <t>11日</t>
    <rPh sb="2" eb="3">
      <t>ニチ</t>
    </rPh>
    <phoneticPr fontId="1"/>
  </si>
  <si>
    <t>12日</t>
    <rPh sb="2" eb="3">
      <t>ニチ</t>
    </rPh>
    <phoneticPr fontId="1"/>
  </si>
  <si>
    <t>13日</t>
    <rPh sb="2" eb="3">
      <t>ニチ</t>
    </rPh>
    <phoneticPr fontId="1"/>
  </si>
  <si>
    <t>14日</t>
    <rPh sb="2" eb="3">
      <t>ニチ</t>
    </rPh>
    <phoneticPr fontId="1"/>
  </si>
  <si>
    <t>15日</t>
    <rPh sb="2" eb="3">
      <t>ニチ</t>
    </rPh>
    <phoneticPr fontId="1"/>
  </si>
  <si>
    <t>16日</t>
    <rPh sb="2" eb="3">
      <t>ニチ</t>
    </rPh>
    <phoneticPr fontId="1"/>
  </si>
  <si>
    <t>17日</t>
    <rPh sb="2" eb="3">
      <t>ニチ</t>
    </rPh>
    <phoneticPr fontId="1"/>
  </si>
  <si>
    <t>18日</t>
    <rPh sb="2" eb="3">
      <t>ニチ</t>
    </rPh>
    <phoneticPr fontId="1"/>
  </si>
  <si>
    <t>19日</t>
    <rPh sb="2" eb="3">
      <t>ニチ</t>
    </rPh>
    <phoneticPr fontId="1"/>
  </si>
  <si>
    <t>20日</t>
    <rPh sb="2" eb="3">
      <t>ニチ</t>
    </rPh>
    <phoneticPr fontId="1"/>
  </si>
  <si>
    <t>作業開始日からの所要日数（日）</t>
    <phoneticPr fontId="1"/>
  </si>
  <si>
    <t>作業者</t>
    <rPh sb="0" eb="3">
      <t>サギョウシャ</t>
    </rPh>
    <phoneticPr fontId="1"/>
  </si>
  <si>
    <t>リーダ</t>
    <phoneticPr fontId="1"/>
  </si>
  <si>
    <t>基盤チーム</t>
    <rPh sb="0" eb="2">
      <t>キバン</t>
    </rPh>
    <phoneticPr fontId="1"/>
  </si>
  <si>
    <t>発注チーム</t>
    <rPh sb="0" eb="2">
      <t>ハッチュウ</t>
    </rPh>
    <phoneticPr fontId="1"/>
  </si>
  <si>
    <r>
      <t xml:space="preserve">必要工数
</t>
    </r>
    <r>
      <rPr>
        <sz val="10"/>
        <color theme="1"/>
        <rFont val="メイリオ"/>
        <family val="3"/>
        <charset val="128"/>
      </rPr>
      <t>（人日）</t>
    </r>
    <rPh sb="0" eb="2">
      <t>ヒツヨウ</t>
    </rPh>
    <rPh sb="2" eb="4">
      <t>コウスウ</t>
    </rPh>
    <rPh sb="6" eb="7">
      <t>ニン</t>
    </rPh>
    <rPh sb="7" eb="8">
      <t>ニチ</t>
    </rPh>
    <phoneticPr fontId="1"/>
  </si>
  <si>
    <r>
      <t xml:space="preserve">所要期間
</t>
    </r>
    <r>
      <rPr>
        <sz val="10"/>
        <color theme="1"/>
        <rFont val="メイリオ"/>
        <family val="3"/>
        <charset val="128"/>
      </rPr>
      <t>（日）</t>
    </r>
    <rPh sb="0" eb="2">
      <t>ショヨウ</t>
    </rPh>
    <rPh sb="2" eb="4">
      <t>キカン</t>
    </rPh>
    <rPh sb="6" eb="7">
      <t>ニチ</t>
    </rPh>
    <phoneticPr fontId="1"/>
  </si>
  <si>
    <t>1日の工数合計</t>
    <rPh sb="1" eb="2">
      <t>ニチ</t>
    </rPh>
    <rPh sb="3" eb="5">
      <t>コウスウ</t>
    </rPh>
    <rPh sb="5" eb="7">
      <t>ゴウケイ</t>
    </rPh>
    <phoneticPr fontId="1"/>
  </si>
  <si>
    <t>作業完了までに必要な日数</t>
    <rPh sb="0" eb="2">
      <t>サギョウ</t>
    </rPh>
    <rPh sb="2" eb="4">
      <t>カンリョウ</t>
    </rPh>
    <rPh sb="7" eb="9">
      <t>ヒツヨウ</t>
    </rPh>
    <rPh sb="10" eb="12">
      <t>ニッスウ</t>
    </rPh>
    <phoneticPr fontId="1"/>
  </si>
  <si>
    <t>チーム名：</t>
    <rPh sb="3" eb="4">
      <t>メイ</t>
    </rPh>
    <phoneticPr fontId="1"/>
  </si>
  <si>
    <t>D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</si>
</sst>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Meiryo UI"/>
      <family val="2"/>
      <charset val="128"/>
    </font>
    <font>
      <sz val="6"/>
      <name val="Meiryo UI"/>
      <family val="2"/>
      <charset val="128"/>
    </font>
    <font>
      <sz val="12"/>
      <color theme="1"/>
      <name val="メイリオ"/>
      <family val="3"/>
      <charset val="128"/>
    </font>
    <font>
      <sz val="12"/>
      <color rgb="FF4B4B4B"/>
      <name val="メイリオ"/>
      <family val="3"/>
      <charset val="128"/>
    </font>
    <font>
      <sz val="10"/>
      <color theme="1"/>
      <name val="メイリオ"/>
      <family val="3"/>
      <charset val="128"/>
    </font>
    <font>
      <sz val="18"/>
      <color theme="1"/>
      <name val="メイリオ"/>
      <family val="3"/>
      <charset val="128"/>
    </font>
  </fonts>
  <fills count="7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0.14999847407452621"/>
        <bgColor indexed="64"/>
      </patternFill>
    </fill>
  </fills>
  <borders count="36">
    <border>
      <left/>
      <right/>
      <top/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medium">
        <color auto="1"/>
      </bottom>
      <diagonal/>
    </border>
    <border>
      <left style="hair">
        <color auto="1"/>
      </left>
      <right style="hair">
        <color auto="1"/>
      </right>
      <top/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/>
      <top/>
      <bottom style="medium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/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medium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>
      <alignment vertical="center"/>
    </xf>
  </cellStyleXfs>
  <cellXfs count="56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left" vertical="center" wrapText="1" readingOrder="1"/>
    </xf>
    <xf numFmtId="0" fontId="3" fillId="0" borderId="6" xfId="0" applyFont="1" applyBorder="1" applyAlignment="1">
      <alignment horizontal="left" vertical="center" wrapText="1" readingOrder="1"/>
    </xf>
    <xf numFmtId="0" fontId="2" fillId="0" borderId="7" xfId="0" applyFont="1" applyBorder="1" applyAlignment="1">
      <alignment horizontal="center" vertical="center"/>
    </xf>
    <xf numFmtId="0" fontId="3" fillId="0" borderId="10" xfId="0" applyFont="1" applyBorder="1" applyAlignment="1">
      <alignment horizontal="left" vertical="center" wrapText="1" readingOrder="1"/>
    </xf>
    <xf numFmtId="0" fontId="2" fillId="0" borderId="12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0" borderId="32" xfId="0" applyFont="1" applyBorder="1" applyAlignment="1">
      <alignment horizontal="center" vertical="center"/>
    </xf>
    <xf numFmtId="0" fontId="2" fillId="0" borderId="0" xfId="0" applyFont="1" applyAlignment="1">
      <alignment horizontal="right" vertical="center"/>
    </xf>
    <xf numFmtId="0" fontId="2" fillId="0" borderId="13" xfId="0" applyFont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5" fillId="0" borderId="33" xfId="0" applyFont="1" applyBorder="1" applyAlignment="1">
      <alignment horizontal="center" vertical="center"/>
    </xf>
    <xf numFmtId="0" fontId="5" fillId="0" borderId="34" xfId="0" applyFont="1" applyBorder="1" applyAlignment="1">
      <alignment horizontal="center" vertical="center"/>
    </xf>
    <xf numFmtId="0" fontId="5" fillId="0" borderId="35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21" xfId="0" applyFont="1" applyBorder="1" applyAlignment="1">
      <alignment horizontal="center" vertical="center" wrapText="1"/>
    </xf>
    <xf numFmtId="0" fontId="2" fillId="0" borderId="22" xfId="0" applyFont="1" applyBorder="1" applyAlignment="1">
      <alignment horizontal="center" vertical="center" wrapText="1"/>
    </xf>
    <xf numFmtId="0" fontId="2" fillId="0" borderId="27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1" fontId="2" fillId="0" borderId="12" xfId="0" applyNumberFormat="1" applyFont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/>
    </xf>
    <xf numFmtId="0" fontId="2" fillId="6" borderId="4" xfId="0" applyFont="1" applyFill="1" applyBorder="1" applyAlignment="1">
      <alignment horizontal="center" vertical="center"/>
    </xf>
    <xf numFmtId="0" fontId="2" fillId="6" borderId="7" xfId="0" applyFont="1" applyFill="1" applyBorder="1" applyAlignment="1">
      <alignment horizontal="center" vertical="center"/>
    </xf>
    <xf numFmtId="0" fontId="2" fillId="3" borderId="30" xfId="0" applyFont="1" applyFill="1" applyBorder="1" applyAlignment="1">
      <alignment horizontal="center" vertical="center"/>
    </xf>
    <xf numFmtId="0" fontId="2" fillId="0" borderId="7" xfId="0" applyFont="1" applyFill="1" applyBorder="1" applyAlignment="1">
      <alignment horizontal="center" vertical="center"/>
    </xf>
    <xf numFmtId="0" fontId="2" fillId="5" borderId="29" xfId="0" applyFont="1" applyFill="1" applyBorder="1" applyAlignment="1">
      <alignment horizontal="center" vertical="center"/>
    </xf>
    <xf numFmtId="0" fontId="2" fillId="5" borderId="12" xfId="0" applyFont="1" applyFill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Y15"/>
  <sheetViews>
    <sheetView showGridLines="0" tabSelected="1" topLeftCell="A8" zoomScale="90" zoomScaleNormal="90" workbookViewId="0">
      <selection activeCell="U8" sqref="U8"/>
    </sheetView>
  </sheetViews>
  <sheetFormatPr defaultColWidth="8.83203125" defaultRowHeight="19.2" x14ac:dyDescent="0.3"/>
  <cols>
    <col min="1" max="1" width="3.6640625" style="1" customWidth="1"/>
    <col min="2" max="2" width="25.6640625" style="1" customWidth="1"/>
    <col min="3" max="3" width="9.6640625" style="2" customWidth="1"/>
    <col min="4" max="4" width="10.83203125" style="2" bestFit="1" customWidth="1"/>
    <col min="5" max="5" width="8.83203125" style="2"/>
    <col min="6" max="25" width="4.4140625" style="2" customWidth="1"/>
    <col min="26" max="16384" width="8.83203125" style="1"/>
  </cols>
  <sheetData>
    <row r="1" spans="2:25" ht="21" customHeight="1" thickBot="1" x14ac:dyDescent="0.35"/>
    <row r="2" spans="2:25" ht="40.5" customHeight="1" thickBot="1" x14ac:dyDescent="0.35">
      <c r="B2" s="23" t="s">
        <v>40</v>
      </c>
      <c r="C2" s="32" t="s">
        <v>41</v>
      </c>
      <c r="D2" s="33"/>
      <c r="E2" s="34"/>
      <c r="J2" s="35" t="s">
        <v>39</v>
      </c>
      <c r="K2" s="35"/>
      <c r="L2" s="35"/>
      <c r="M2" s="35"/>
      <c r="N2" s="35"/>
      <c r="O2" s="35"/>
      <c r="P2" s="32" t="s">
        <v>25</v>
      </c>
      <c r="Q2" s="33"/>
      <c r="R2" s="33"/>
      <c r="S2" s="33"/>
      <c r="T2" s="34"/>
    </row>
    <row r="4" spans="2:25" x14ac:dyDescent="0.3">
      <c r="B4" s="36" t="s">
        <v>9</v>
      </c>
      <c r="C4" s="38" t="s">
        <v>10</v>
      </c>
      <c r="D4" s="40" t="s">
        <v>36</v>
      </c>
      <c r="E4" s="42" t="s">
        <v>37</v>
      </c>
      <c r="F4" s="44" t="s">
        <v>31</v>
      </c>
      <c r="G4" s="45"/>
      <c r="H4" s="45"/>
      <c r="I4" s="45"/>
      <c r="J4" s="45"/>
      <c r="K4" s="45"/>
      <c r="L4" s="45"/>
      <c r="M4" s="45"/>
      <c r="N4" s="45"/>
      <c r="O4" s="45"/>
      <c r="P4" s="45"/>
      <c r="Q4" s="45"/>
      <c r="R4" s="45"/>
      <c r="S4" s="45"/>
      <c r="T4" s="45"/>
      <c r="U4" s="45"/>
      <c r="V4" s="45"/>
      <c r="W4" s="45"/>
      <c r="X4" s="45"/>
      <c r="Y4" s="46"/>
    </row>
    <row r="5" spans="2:25" ht="19.8" thickBot="1" x14ac:dyDescent="0.35">
      <c r="B5" s="37"/>
      <c r="C5" s="39"/>
      <c r="D5" s="41"/>
      <c r="E5" s="43"/>
      <c r="F5" s="21" t="s">
        <v>11</v>
      </c>
      <c r="G5" s="9" t="s">
        <v>12</v>
      </c>
      <c r="H5" s="9" t="s">
        <v>13</v>
      </c>
      <c r="I5" s="9" t="s">
        <v>14</v>
      </c>
      <c r="J5" s="9" t="s">
        <v>15</v>
      </c>
      <c r="K5" s="9" t="s">
        <v>16</v>
      </c>
      <c r="L5" s="9" t="s">
        <v>17</v>
      </c>
      <c r="M5" s="9" t="s">
        <v>18</v>
      </c>
      <c r="N5" s="9" t="s">
        <v>19</v>
      </c>
      <c r="O5" s="9" t="s">
        <v>20</v>
      </c>
      <c r="P5" s="9" t="s">
        <v>21</v>
      </c>
      <c r="Q5" s="9" t="s">
        <v>22</v>
      </c>
      <c r="R5" s="9" t="s">
        <v>23</v>
      </c>
      <c r="S5" s="9" t="s">
        <v>24</v>
      </c>
      <c r="T5" s="9" t="s">
        <v>25</v>
      </c>
      <c r="U5" s="9" t="s">
        <v>26</v>
      </c>
      <c r="V5" s="9" t="s">
        <v>27</v>
      </c>
      <c r="W5" s="9" t="s">
        <v>28</v>
      </c>
      <c r="X5" s="9" t="s">
        <v>29</v>
      </c>
      <c r="Y5" s="10" t="s">
        <v>30</v>
      </c>
    </row>
    <row r="6" spans="2:25" ht="42" customHeight="1" x14ac:dyDescent="0.3">
      <c r="B6" s="7" t="s">
        <v>0</v>
      </c>
      <c r="C6" s="11" t="s">
        <v>32</v>
      </c>
      <c r="D6" s="47">
        <v>20</v>
      </c>
      <c r="E6" s="18">
        <f>D6/5</f>
        <v>4</v>
      </c>
      <c r="F6" s="54">
        <v>5</v>
      </c>
      <c r="G6" s="55">
        <v>5</v>
      </c>
      <c r="H6" s="55">
        <v>5</v>
      </c>
      <c r="I6" s="55">
        <v>5</v>
      </c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24"/>
    </row>
    <row r="7" spans="2:25" ht="42" customHeight="1" x14ac:dyDescent="0.3">
      <c r="B7" s="4" t="s">
        <v>1</v>
      </c>
      <c r="C7" s="13" t="s">
        <v>33</v>
      </c>
      <c r="D7" s="3">
        <f>0.2*20</f>
        <v>4</v>
      </c>
      <c r="E7" s="19">
        <f>D7</f>
        <v>4</v>
      </c>
      <c r="F7" s="25"/>
      <c r="G7" s="13">
        <v>1</v>
      </c>
      <c r="H7" s="13">
        <v>1</v>
      </c>
      <c r="I7" s="13">
        <v>1</v>
      </c>
      <c r="J7" s="13">
        <v>1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26"/>
    </row>
    <row r="8" spans="2:25" ht="42" customHeight="1" x14ac:dyDescent="0.3">
      <c r="B8" s="4" t="s">
        <v>2</v>
      </c>
      <c r="C8" s="12" t="s">
        <v>32</v>
      </c>
      <c r="D8" s="3">
        <f>0.5*20</f>
        <v>10</v>
      </c>
      <c r="E8" s="19">
        <v>2</v>
      </c>
      <c r="F8" s="25"/>
      <c r="G8" s="3"/>
      <c r="H8" s="3"/>
      <c r="I8" s="3"/>
      <c r="J8" s="48"/>
      <c r="K8" s="48"/>
      <c r="L8" s="3"/>
      <c r="M8" s="3"/>
      <c r="N8" s="3"/>
      <c r="O8" s="49">
        <v>5</v>
      </c>
      <c r="P8" s="49">
        <v>5</v>
      </c>
      <c r="Q8" s="3"/>
      <c r="R8" s="3"/>
      <c r="S8" s="3"/>
      <c r="T8" s="3"/>
      <c r="U8" s="3"/>
      <c r="V8" s="3"/>
      <c r="W8" s="3"/>
      <c r="X8" s="3"/>
      <c r="Y8" s="26"/>
    </row>
    <row r="9" spans="2:25" ht="42" customHeight="1" x14ac:dyDescent="0.3">
      <c r="B9" s="4" t="s">
        <v>3</v>
      </c>
      <c r="C9" s="12" t="s">
        <v>32</v>
      </c>
      <c r="D9" s="3">
        <f>1.5*20</f>
        <v>30</v>
      </c>
      <c r="E9" s="19">
        <v>6</v>
      </c>
      <c r="F9" s="25"/>
      <c r="G9" s="3"/>
      <c r="H9" s="3"/>
      <c r="I9" s="3"/>
      <c r="J9" s="49">
        <v>5</v>
      </c>
      <c r="K9" s="12">
        <v>6</v>
      </c>
      <c r="L9" s="12">
        <v>6</v>
      </c>
      <c r="M9" s="12">
        <v>6</v>
      </c>
      <c r="N9" s="12">
        <v>6</v>
      </c>
      <c r="O9" s="13">
        <v>1</v>
      </c>
      <c r="P9" s="3"/>
      <c r="Q9" s="3"/>
      <c r="R9" s="3"/>
      <c r="S9" s="3"/>
      <c r="T9" s="3"/>
      <c r="U9" s="3"/>
      <c r="V9" s="3"/>
      <c r="W9" s="3"/>
      <c r="X9" s="3"/>
      <c r="Y9" s="26"/>
    </row>
    <row r="10" spans="2:25" ht="42" customHeight="1" x14ac:dyDescent="0.3">
      <c r="B10" s="4" t="s">
        <v>4</v>
      </c>
      <c r="C10" s="12" t="s">
        <v>32</v>
      </c>
      <c r="D10" s="3">
        <f>0.5*20</f>
        <v>10</v>
      </c>
      <c r="E10" s="19">
        <v>2</v>
      </c>
      <c r="F10" s="25"/>
      <c r="G10" s="3"/>
      <c r="H10" s="3"/>
      <c r="I10" s="3"/>
      <c r="J10" s="3"/>
      <c r="K10" s="3"/>
      <c r="L10" s="3"/>
      <c r="M10" s="3"/>
      <c r="N10" s="3"/>
      <c r="O10" s="3"/>
      <c r="P10" s="3"/>
      <c r="Q10" s="49">
        <v>5</v>
      </c>
      <c r="R10" s="49">
        <v>5</v>
      </c>
      <c r="S10" s="3"/>
      <c r="T10" s="3"/>
      <c r="U10" s="3"/>
      <c r="V10" s="3"/>
      <c r="W10" s="3"/>
      <c r="X10" s="3"/>
      <c r="Y10" s="26"/>
    </row>
    <row r="11" spans="2:25" ht="42" customHeight="1" x14ac:dyDescent="0.3">
      <c r="B11" s="4" t="s">
        <v>5</v>
      </c>
      <c r="C11" s="13" t="s">
        <v>33</v>
      </c>
      <c r="D11" s="3">
        <v>0</v>
      </c>
      <c r="E11" s="19">
        <v>1</v>
      </c>
      <c r="F11" s="52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48"/>
      <c r="T11" s="3"/>
      <c r="U11" s="3"/>
      <c r="V11" s="3"/>
      <c r="W11" s="3"/>
      <c r="X11" s="3"/>
      <c r="Y11" s="26"/>
    </row>
    <row r="12" spans="2:25" ht="42" customHeight="1" x14ac:dyDescent="0.3">
      <c r="B12" s="4" t="s">
        <v>6</v>
      </c>
      <c r="C12" s="14" t="s">
        <v>34</v>
      </c>
      <c r="D12" s="3">
        <v>0</v>
      </c>
      <c r="E12" s="19">
        <v>3</v>
      </c>
      <c r="F12" s="25"/>
      <c r="G12" s="50"/>
      <c r="H12" s="50"/>
      <c r="I12" s="50"/>
      <c r="J12" s="3"/>
      <c r="K12" s="3"/>
      <c r="L12" s="3"/>
      <c r="M12" s="3"/>
      <c r="N12" s="3"/>
      <c r="O12" s="3"/>
      <c r="P12" s="3"/>
      <c r="Q12" s="3"/>
      <c r="R12" s="48"/>
      <c r="S12" s="48"/>
      <c r="T12" s="48"/>
      <c r="U12" s="48"/>
      <c r="V12" s="48"/>
      <c r="W12" s="3"/>
      <c r="X12" s="3"/>
      <c r="Y12" s="26"/>
    </row>
    <row r="13" spans="2:25" ht="42" customHeight="1" x14ac:dyDescent="0.3">
      <c r="B13" s="4" t="s">
        <v>7</v>
      </c>
      <c r="C13" s="13" t="s">
        <v>33</v>
      </c>
      <c r="D13" s="3">
        <v>2</v>
      </c>
      <c r="E13" s="19">
        <f>D13</f>
        <v>2</v>
      </c>
      <c r="F13" s="25"/>
      <c r="G13" s="3"/>
      <c r="H13" s="3"/>
      <c r="I13" s="3"/>
      <c r="J13" s="3"/>
      <c r="K13" s="3"/>
      <c r="L13" s="3"/>
      <c r="M13" s="3"/>
      <c r="N13" s="3"/>
      <c r="O13" s="3"/>
      <c r="P13" s="13">
        <v>1</v>
      </c>
      <c r="Q13" s="13">
        <v>1</v>
      </c>
      <c r="R13" s="3"/>
      <c r="S13" s="48"/>
      <c r="T13" s="48"/>
      <c r="U13" s="3"/>
      <c r="V13" s="3"/>
      <c r="W13" s="48"/>
      <c r="X13" s="48"/>
      <c r="Y13" s="26"/>
    </row>
    <row r="14" spans="2:25" ht="42" customHeight="1" x14ac:dyDescent="0.3">
      <c r="B14" s="5" t="s">
        <v>8</v>
      </c>
      <c r="C14" s="15" t="s">
        <v>35</v>
      </c>
      <c r="D14" s="6">
        <v>0</v>
      </c>
      <c r="E14" s="20">
        <v>2</v>
      </c>
      <c r="F14" s="27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51"/>
      <c r="T14" s="51"/>
      <c r="U14" s="53"/>
      <c r="V14" s="53"/>
      <c r="W14" s="53"/>
      <c r="X14" s="53"/>
      <c r="Y14" s="28"/>
    </row>
    <row r="15" spans="2:25" ht="42" customHeight="1" x14ac:dyDescent="0.3">
      <c r="B15" s="29" t="s">
        <v>38</v>
      </c>
      <c r="C15" s="30"/>
      <c r="D15" s="30"/>
      <c r="E15" s="31"/>
      <c r="F15" s="22">
        <f>SUM(F6:F14)</f>
        <v>5</v>
      </c>
      <c r="G15" s="16">
        <f t="shared" ref="G15:W15" si="0">SUM(G6:G14)</f>
        <v>6</v>
      </c>
      <c r="H15" s="16">
        <f t="shared" si="0"/>
        <v>6</v>
      </c>
      <c r="I15" s="16">
        <f t="shared" si="0"/>
        <v>6</v>
      </c>
      <c r="J15" s="16">
        <f t="shared" si="0"/>
        <v>6</v>
      </c>
      <c r="K15" s="16">
        <f t="shared" si="0"/>
        <v>6</v>
      </c>
      <c r="L15" s="16">
        <f t="shared" si="0"/>
        <v>6</v>
      </c>
      <c r="M15" s="16">
        <f t="shared" si="0"/>
        <v>6</v>
      </c>
      <c r="N15" s="16">
        <f t="shared" si="0"/>
        <v>6</v>
      </c>
      <c r="O15" s="16">
        <f t="shared" si="0"/>
        <v>6</v>
      </c>
      <c r="P15" s="16">
        <f t="shared" si="0"/>
        <v>6</v>
      </c>
      <c r="Q15" s="16">
        <f t="shared" si="0"/>
        <v>6</v>
      </c>
      <c r="R15" s="16">
        <f t="shared" si="0"/>
        <v>5</v>
      </c>
      <c r="S15" s="16">
        <f t="shared" si="0"/>
        <v>0</v>
      </c>
      <c r="T15" s="16">
        <f t="shared" si="0"/>
        <v>0</v>
      </c>
      <c r="U15" s="16">
        <f t="shared" si="0"/>
        <v>0</v>
      </c>
      <c r="V15" s="16">
        <f t="shared" si="0"/>
        <v>0</v>
      </c>
      <c r="W15" s="16"/>
      <c r="X15" s="16"/>
      <c r="Y15" s="17"/>
    </row>
  </sheetData>
  <mergeCells count="9">
    <mergeCell ref="B15:E15"/>
    <mergeCell ref="C2:E2"/>
    <mergeCell ref="J2:O2"/>
    <mergeCell ref="P2:T2"/>
    <mergeCell ref="B4:B5"/>
    <mergeCell ref="C4:C5"/>
    <mergeCell ref="D4:D5"/>
    <mergeCell ref="E4:E5"/>
    <mergeCell ref="F4:Y4"/>
  </mergeCells>
  <phoneticPr fontId="1"/>
  <pageMargins left="0.49" right="0.35433070866141736" top="0.94488188976377963" bottom="0.59055118110236227" header="0.42" footer="0.31496062992125984"/>
  <pageSetup paperSize="9" scale="72" orientation="landscape" verticalDpi="0" r:id="rId1"/>
  <headerFooter>
    <oddHeader>&amp;C&amp;"メイリオ,レギュラー"&amp;14現状確認演習&amp;R&amp;"メイリオ,レギュラー"&amp;D</oddHeader>
    <oddFooter>&amp;L&amp;"メイリオ,レギュラー"&amp;F&amp;C&amp;"メイリオ,レギュラー"&amp;P / &amp;N&amp;R&amp;"メイリオ,レギュラー"PM研修1日目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9b5bd16-3620-4a73-b1e5-5525b2a7559a" xsi:nil="true"/>
    <lcf76f155ced4ddcb4097134ff3c332f xmlns="99a44cbb-1f19-4d17-baf3-8bb8fbd5b993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5522CBCF1EC514408F10913E4BF3B05E" ma:contentTypeVersion="14" ma:contentTypeDescription="新しいドキュメントを作成します。" ma:contentTypeScope="" ma:versionID="4ebe4b00125fe6fca2fdb82cc7d5a456">
  <xsd:schema xmlns:xsd="http://www.w3.org/2001/XMLSchema" xmlns:xs="http://www.w3.org/2001/XMLSchema" xmlns:p="http://schemas.microsoft.com/office/2006/metadata/properties" xmlns:ns2="99a44cbb-1f19-4d17-baf3-8bb8fbd5b993" xmlns:ns3="79b5bd16-3620-4a73-b1e5-5525b2a7559a" targetNamespace="http://schemas.microsoft.com/office/2006/metadata/properties" ma:root="true" ma:fieldsID="7b729fe6f3ca3cfc236bca821f9c842d" ns2:_="" ns3:_="">
    <xsd:import namespace="99a44cbb-1f19-4d17-baf3-8bb8fbd5b993"/>
    <xsd:import namespace="79b5bd16-3620-4a73-b1e5-5525b2a7559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a44cbb-1f19-4d17-baf3-8bb8fbd5b9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画像タグ" ma:readOnly="false" ma:fieldId="{5cf76f15-5ced-4ddc-b409-7134ff3c332f}" ma:taxonomyMulti="true" ma:sspId="11cc831f-987b-4185-8ec5-cf3db009cb4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b5bd16-3620-4a73-b1e5-5525b2a7559a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0e957347-b26f-429c-be65-87461971857e}" ma:internalName="TaxCatchAll" ma:showField="CatchAllData" ma:web="79b5bd16-3620-4a73-b1e5-5525b2a7559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EB03CD0-B616-419B-B421-826928B8957A}">
  <ds:schemaRefs>
    <ds:schemaRef ds:uri="http://schemas.microsoft.com/office/2006/metadata/properties"/>
    <ds:schemaRef ds:uri="http://schemas.microsoft.com/office/infopath/2007/PartnerControls"/>
    <ds:schemaRef ds:uri="79b5bd16-3620-4a73-b1e5-5525b2a7559a"/>
    <ds:schemaRef ds:uri="99a44cbb-1f19-4d17-baf3-8bb8fbd5b993"/>
  </ds:schemaRefs>
</ds:datastoreItem>
</file>

<file path=customXml/itemProps2.xml><?xml version="1.0" encoding="utf-8"?>
<ds:datastoreItem xmlns:ds="http://schemas.openxmlformats.org/officeDocument/2006/customXml" ds:itemID="{DA76A9C4-4C62-499C-8812-7047D37B76F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9a44cbb-1f19-4d17-baf3-8bb8fbd5b993"/>
    <ds:schemaRef ds:uri="79b5bd16-3620-4a73-b1e5-5525b2a7559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E6B6602-4FF9-4AA4-84F7-6C8D7A83E2C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回答シート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hirokane</dc:creator>
  <cp:lastModifiedBy>筧 るみ子</cp:lastModifiedBy>
  <cp:lastPrinted>2020-08-01T04:40:35Z</cp:lastPrinted>
  <dcterms:created xsi:type="dcterms:W3CDTF">2020-07-28T13:52:10Z</dcterms:created>
  <dcterms:modified xsi:type="dcterms:W3CDTF">2026-01-26T05:37:57Z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0x0101005522CBCF1EC514408F10913E4BF3B05E</vt:lpwstr>
  </property>
  <property fmtid="{D5CDD505-2E9C-101B-9397-08002B2CF9AE}" pid="3" name="MediaServiceImageTags">
    <vt:lpwstr/>
  </property>
</Properties>
</file>